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tetoo.lwin\Desktop\"/>
    </mc:Choice>
  </mc:AlternateContent>
  <xr:revisionPtr revIDLastSave="0" documentId="8_{13C4C18A-2607-40C1-9471-407AD90F424B}" xr6:coauthVersionLast="47" xr6:coauthVersionMax="47" xr10:uidLastSave="{00000000-0000-0000-0000-000000000000}"/>
  <bookViews>
    <workbookView xWindow="-120" yWindow="-120" windowWidth="29040" windowHeight="15840" xr2:uid="{9838F717-2D2E-4437-A497-9E5F6DC1B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E9" i="1" s="1"/>
  <c r="F9" i="1" s="1"/>
  <c r="B10" i="1"/>
  <c r="C10" i="1"/>
  <c r="D10" i="1"/>
  <c r="E10" i="1" s="1"/>
  <c r="F10" i="1" s="1"/>
  <c r="B11" i="1"/>
  <c r="C11" i="1"/>
  <c r="D11" i="1" s="1"/>
  <c r="E11" i="1" s="1"/>
  <c r="F11" i="1" s="1"/>
  <c r="B12" i="1"/>
  <c r="C12" i="1"/>
  <c r="D12" i="1"/>
  <c r="E12" i="1" s="1"/>
  <c r="F12" i="1" s="1"/>
  <c r="B13" i="1"/>
  <c r="C13" i="1"/>
  <c r="D13" i="1"/>
  <c r="E13" i="1"/>
  <c r="F13" i="1" s="1"/>
  <c r="B14" i="1"/>
  <c r="C14" i="1"/>
  <c r="D14" i="1" s="1"/>
  <c r="E14" i="1" s="1"/>
  <c r="F14" i="1" s="1"/>
  <c r="B15" i="1"/>
  <c r="C15" i="1"/>
  <c r="D15" i="1" s="1"/>
  <c r="E15" i="1" s="1"/>
  <c r="F15" i="1" s="1"/>
  <c r="B16" i="1"/>
  <c r="C16" i="1"/>
  <c r="D16" i="1"/>
  <c r="E16" i="1"/>
  <c r="F16" i="1" s="1"/>
  <c r="B17" i="1"/>
  <c r="C17" i="1"/>
  <c r="D17" i="1" s="1"/>
  <c r="E17" i="1" s="1"/>
  <c r="F17" i="1" s="1"/>
  <c r="B18" i="1"/>
  <c r="C18" i="1"/>
  <c r="D18" i="1"/>
  <c r="E18" i="1" s="1"/>
  <c r="F18" i="1" s="1"/>
  <c r="B19" i="1"/>
  <c r="C19" i="1"/>
  <c r="D19" i="1" s="1"/>
  <c r="E19" i="1" s="1"/>
  <c r="F19" i="1" s="1"/>
  <c r="B20" i="1"/>
  <c r="C20" i="1"/>
  <c r="D20" i="1"/>
  <c r="E20" i="1"/>
  <c r="F20" i="1" s="1"/>
  <c r="B21" i="1"/>
  <c r="C21" i="1"/>
  <c r="D21" i="1"/>
  <c r="E21" i="1" s="1"/>
  <c r="F21" i="1" s="1"/>
  <c r="B22" i="1"/>
  <c r="C22" i="1"/>
  <c r="D22" i="1"/>
  <c r="E22" i="1" s="1"/>
  <c r="F22" i="1" s="1"/>
  <c r="B23" i="1"/>
  <c r="C23" i="1"/>
  <c r="D23" i="1" s="1"/>
  <c r="E23" i="1" s="1"/>
  <c r="F23" i="1" s="1"/>
  <c r="B24" i="1"/>
  <c r="C24" i="1"/>
  <c r="D24" i="1"/>
  <c r="E24" i="1" s="1"/>
  <c r="F24" i="1" s="1"/>
  <c r="B25" i="1"/>
  <c r="C25" i="1"/>
  <c r="D25" i="1"/>
  <c r="E25" i="1"/>
  <c r="F25" i="1" s="1"/>
  <c r="B26" i="1"/>
  <c r="C26" i="1"/>
  <c r="D26" i="1" s="1"/>
  <c r="E26" i="1" s="1"/>
  <c r="F26" i="1" s="1"/>
  <c r="B27" i="1"/>
  <c r="C27" i="1"/>
  <c r="D27" i="1" s="1"/>
  <c r="E27" i="1" s="1"/>
  <c r="F27" i="1" s="1"/>
  <c r="B28" i="1"/>
  <c r="C28" i="1"/>
  <c r="D28" i="1"/>
  <c r="E28" i="1"/>
  <c r="F28" i="1" s="1"/>
  <c r="B29" i="1"/>
  <c r="C29" i="1"/>
  <c r="D29" i="1" s="1"/>
  <c r="E29" i="1" s="1"/>
  <c r="F29" i="1" s="1"/>
  <c r="B30" i="1"/>
  <c r="C30" i="1"/>
  <c r="D30" i="1"/>
  <c r="E30" i="1" s="1"/>
  <c r="F30" i="1" s="1"/>
  <c r="B31" i="1"/>
  <c r="C31" i="1"/>
  <c r="D31" i="1" s="1"/>
  <c r="E31" i="1" s="1"/>
  <c r="F31" i="1" s="1"/>
  <c r="B32" i="1"/>
  <c r="C32" i="1"/>
  <c r="D32" i="1"/>
  <c r="E32" i="1"/>
  <c r="F32" i="1" s="1"/>
  <c r="B8" i="1"/>
  <c r="C8" i="1"/>
  <c r="D8" i="1" s="1"/>
  <c r="E8" i="1" s="1"/>
  <c r="F8" i="1" s="1"/>
  <c r="B7" i="1"/>
  <c r="C7" i="1"/>
  <c r="D7" i="1" s="1"/>
  <c r="E7" i="1" s="1"/>
  <c r="C2" i="1"/>
  <c r="C4" i="1"/>
  <c r="D4" i="1" s="1"/>
  <c r="E4" i="1" s="1"/>
  <c r="C5" i="1"/>
  <c r="D5" i="1" s="1"/>
  <c r="C6" i="1"/>
  <c r="D6" i="1" s="1"/>
  <c r="E6" i="1" s="1"/>
  <c r="C3" i="1"/>
  <c r="D3" i="1" s="1"/>
  <c r="E3" i="1" s="1"/>
  <c r="B3" i="1"/>
  <c r="B4" i="1"/>
  <c r="B5" i="1"/>
  <c r="B6" i="1"/>
  <c r="B2" i="1"/>
  <c r="F7" i="1" l="1"/>
  <c r="F3" i="1"/>
  <c r="E5" i="1"/>
  <c r="F5" i="1" s="1"/>
  <c r="F6" i="1"/>
  <c r="F4" i="1"/>
</calcChain>
</file>

<file path=xl/sharedStrings.xml><?xml version="1.0" encoding="utf-8"?>
<sst xmlns="http://schemas.openxmlformats.org/spreadsheetml/2006/main" count="103" uniqueCount="72">
  <si>
    <t>left</t>
  </si>
  <si>
    <t>right</t>
  </si>
  <si>
    <t>date</t>
  </si>
  <si>
    <t>final</t>
  </si>
  <si>
    <t>character varying(60)</t>
  </si>
  <si>
    <t>character varying(315)</t>
  </si>
  <si>
    <t>character varying(15)</t>
  </si>
  <si>
    <t>character varying(27)</t>
  </si>
  <si>
    <t>character varying(300)</t>
  </si>
  <si>
    <t>numeric(38,10)</t>
  </si>
  <si>
    <t>numeric(38,4)</t>
  </si>
  <si>
    <t>integer</t>
  </si>
  <si>
    <t>character varying(18)</t>
  </si>
  <si>
    <t xml:space="preserve">null as </t>
  </si>
  <si>
    <t xml:space="preserve">0 as </t>
  </si>
  <si>
    <t>FFF</t>
  </si>
  <si>
    <t>trn_date date ENCODE az64,</t>
  </si>
  <si>
    <t>character varying(100)</t>
  </si>
  <si>
    <t>numeric(18,5)</t>
  </si>
  <si>
    <t>character varying(500)</t>
  </si>
  <si>
    <t>numeric(18,2)</t>
  </si>
  <si>
    <t xml:space="preserve">'2999-12-31'::date as </t>
  </si>
  <si>
    <t>character varying(9)</t>
  </si>
  <si>
    <t>character varying(150)</t>
  </si>
  <si>
    <t>character varying(600)</t>
  </si>
  <si>
    <t>character varying(8)</t>
  </si>
  <si>
    <t>character varying(420)</t>
  </si>
  <si>
    <t>character varying(4000)</t>
  </si>
  <si>
    <t>acc_branch character varying(12) ENCODE lzo,</t>
  </si>
  <si>
    <t>trn_group character varying(50) ENCODE lzo,</t>
  </si>
  <si>
    <t>trn_count bigint ENCODE az64,</t>
  </si>
  <si>
    <t>character varying(12)</t>
  </si>
  <si>
    <t>character varying(50)</t>
  </si>
  <si>
    <t>character varying(7)</t>
  </si>
  <si>
    <t>bigint</t>
  </si>
  <si>
    <t>character varying(163)</t>
  </si>
  <si>
    <t>character varying(800)</t>
  </si>
  <si>
    <t>numeric(38,12)</t>
  </si>
  <si>
    <t>numeric(22,2)</t>
  </si>
  <si>
    <t>character varying(1721)</t>
  </si>
  <si>
    <t>character varying(1500)</t>
  </si>
  <si>
    <t>CREATE TABLE report.dbu_monthly_fees_history (</t>
  </si>
  <si>
    <t>trn_branch character varying(12) ENCODE lzo,</t>
  </si>
  <si>
    <t>trn_township character varying(600) ENCODE bytedict,</t>
  </si>
  <si>
    <t>trn_division character varying(150) ENCODE bytedict,</t>
  </si>
  <si>
    <t>trn_territory character varying(150) ENCODE bytedict,</t>
  </si>
  <si>
    <t>acc_class character varying(18) ENCODE bytedict,</t>
  </si>
  <si>
    <t>product_group character varying(100) ENCODE bytedict,</t>
  </si>
  <si>
    <t>product_category character varying(100) ENCODE bytedict,</t>
  </si>
  <si>
    <t>cust_type character varying(10) ENCODE lzo,</t>
  </si>
  <si>
    <t>cust_segment character varying(35) ENCODE lzo,</t>
  </si>
  <si>
    <t>businesssector character varying(4000) ENCODE lzo,</t>
  </si>
  <si>
    <t>businessindustrytype character varying(4000) ENCODE lzo,</t>
  </si>
  <si>
    <t>businesssubindustry character varying(4000) ENCODE lzo,</t>
  </si>
  <si>
    <t>trn_category character varying(100) ENCODE bytedict,</t>
  </si>
  <si>
    <t>acc_township character varying(600) ENCODE bytedict,</t>
  </si>
  <si>
    <t>acc_division character varying(150) ENCODE bytedict,</t>
  </si>
  <si>
    <t>acc_territory character varying(150) ENCODE bytedict,</t>
  </si>
  <si>
    <t>trn_amt_tier character varying(21) ENCODE bytedict,</t>
  </si>
  <si>
    <t>no_of_accounts bigint ENCODE az64,</t>
  </si>
  <si>
    <t>no_of_accounts_same_city bigint ENCODE az64,</t>
  </si>
  <si>
    <t>no_of_accounts_diff_city bigint ENCODE az64,</t>
  </si>
  <si>
    <t>trn_count_same_city bigint ENCODE az64,</t>
  </si>
  <si>
    <t>trn_count_diff_city bigint ENCODE az64,</t>
  </si>
  <si>
    <t>trn_amount numeric(38,4) ENCODE az64,</t>
  </si>
  <si>
    <t>trn_amount_same_city numeric(38,4) ENCODE az64,</t>
  </si>
  <si>
    <t>trn_amount_diff_city numeric(38,4) ENCODE az64,</t>
  </si>
  <si>
    <t>trn_fees numeric(38,9) ENCODE az64</t>
  </si>
  <si>
    <t>character varying(10)</t>
  </si>
  <si>
    <t>character varying(35)</t>
  </si>
  <si>
    <t>character varying(21)</t>
  </si>
  <si>
    <t>numeric(38,9)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</si>
</sst>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84A1-B989-4751-AD72-3D826A76C96E}">
  <dimension ref="A1:M34"/>
  <sheetViews>
    <sheetView tabSelected="1" workbookViewId="0">
      <selection activeCell="C7" sqref="C7"/>
    </sheetView>
  </sheetViews>
  <sheetFormatPr defaultRowHeight="15" x14ac:dyDescent="0.25"/>
  <cols>
    <col min="1" max="1" width="58.140625" bestFit="1" customWidth="1"/>
    <col min="2" max="2" width="15" bestFit="1" customWidth="1"/>
    <col min="3" max="3" width="34.5703125" bestFit="1" customWidth="1"/>
    <col min="4" max="4" width="20.7109375" bestFit="1" customWidth="1"/>
    <col min="5" max="5" width="19" bestFit="1" customWidth="1"/>
    <col min="6" max="6" width="32.5703125" bestFit="1" customWidth="1"/>
    <col min="12" max="12" width="20.7109375" bestFit="1" customWidth="1"/>
  </cols>
  <sheetData>
    <row r="1" spans="1:13" x14ac:dyDescent="0.25">
      <c r="B1" t="s">
        <v>0</v>
      </c>
      <c r="D1" t="s">
        <v>1</v>
      </c>
      <c r="E1" t="s">
        <v>3</v>
      </c>
      <c r="F1" t="s">
        <v>15</v>
      </c>
      <c r="L1" t="s">
        <v>2</v>
      </c>
      <c r="M1" s="1" t="s">
        <v>21</v>
      </c>
    </row>
    <row r="2" spans="1:13" x14ac:dyDescent="0.25">
      <c r="A2" t="s">
        <v>41</v>
      </c>
      <c r="B2" t="str">
        <f>LEFT(A2,FIND(" ",A2)-1)</f>
        <v>CREATE</v>
      </c>
      <c r="C2" t="e">
        <f>LEFT(A2,FIND("ENCODE",A2)-2)</f>
        <v>#VALUE!</v>
      </c>
      <c r="L2" t="s">
        <v>4</v>
      </c>
      <c r="M2" t="s">
        <v>13</v>
      </c>
    </row>
    <row r="3" spans="1:13" x14ac:dyDescent="0.25">
      <c r="A3" t="s">
        <v>16</v>
      </c>
      <c r="B3" t="str">
        <f t="shared" ref="B3:B32" si="0">LEFT(A3,FIND(" ",A3)-1)</f>
        <v>trn_date</v>
      </c>
      <c r="C3" t="str">
        <f>LEFT(A3,FIND("ENCODE",A3)-2)</f>
        <v>trn_date date</v>
      </c>
      <c r="D3" t="str">
        <f>RIGHT(C3,LEN(C3)-FIND(" ",C3))</f>
        <v>date</v>
      </c>
      <c r="E3" t="str">
        <f>VLOOKUP(D3,L:M,2,FALSE)</f>
        <v xml:space="preserve">'2999-12-31'::date as </v>
      </c>
      <c r="F3" t="str">
        <f>E3&amp;B3&amp;","</f>
        <v>'2999-12-31'::date as trn_date,</v>
      </c>
      <c r="L3" t="s">
        <v>5</v>
      </c>
      <c r="M3" t="s">
        <v>13</v>
      </c>
    </row>
    <row r="4" spans="1:13" x14ac:dyDescent="0.25">
      <c r="A4" t="s">
        <v>42</v>
      </c>
      <c r="B4" t="str">
        <f t="shared" si="0"/>
        <v>trn_branch</v>
      </c>
      <c r="C4" t="str">
        <f t="shared" ref="C4:C13" si="1">LEFT(A4,FIND("ENCODE",A4)-2)</f>
        <v>trn_branch character varying(12)</v>
      </c>
      <c r="D4" t="str">
        <f t="shared" ref="D4:D32" si="2">RIGHT(C4,LEN(C4)-FIND(" ",C4))</f>
        <v>character varying(12)</v>
      </c>
      <c r="E4" t="str">
        <f t="shared" ref="E4:E13" si="3">VLOOKUP(D4,L:M,2,FALSE)</f>
        <v xml:space="preserve">null as </v>
      </c>
      <c r="F4" t="str">
        <f t="shared" ref="F4:F24" si="4">E4&amp;B4&amp;","</f>
        <v>null as trn_branch,</v>
      </c>
      <c r="L4" t="s">
        <v>6</v>
      </c>
      <c r="M4" t="s">
        <v>13</v>
      </c>
    </row>
    <row r="5" spans="1:13" x14ac:dyDescent="0.25">
      <c r="A5" t="s">
        <v>43</v>
      </c>
      <c r="B5" t="str">
        <f t="shared" si="0"/>
        <v>trn_township</v>
      </c>
      <c r="C5" t="str">
        <f t="shared" si="1"/>
        <v>trn_township character varying(600)</v>
      </c>
      <c r="D5" t="str">
        <f t="shared" si="2"/>
        <v>character varying(600)</v>
      </c>
      <c r="E5" t="str">
        <f t="shared" si="3"/>
        <v xml:space="preserve">null as </v>
      </c>
      <c r="F5" t="str">
        <f t="shared" si="4"/>
        <v>null as trn_township,</v>
      </c>
      <c r="L5" t="s">
        <v>7</v>
      </c>
      <c r="M5" t="s">
        <v>13</v>
      </c>
    </row>
    <row r="6" spans="1:13" x14ac:dyDescent="0.25">
      <c r="A6" t="s">
        <v>44</v>
      </c>
      <c r="B6" t="str">
        <f t="shared" si="0"/>
        <v>trn_division</v>
      </c>
      <c r="C6" t="str">
        <f t="shared" si="1"/>
        <v>trn_division character varying(150)</v>
      </c>
      <c r="D6" t="str">
        <f t="shared" si="2"/>
        <v>character varying(150)</v>
      </c>
      <c r="E6" t="str">
        <f t="shared" si="3"/>
        <v xml:space="preserve">null as </v>
      </c>
      <c r="F6" t="str">
        <f t="shared" si="4"/>
        <v>null as trn_division,</v>
      </c>
      <c r="L6" t="s">
        <v>8</v>
      </c>
      <c r="M6" t="s">
        <v>13</v>
      </c>
    </row>
    <row r="7" spans="1:13" x14ac:dyDescent="0.25">
      <c r="A7" t="s">
        <v>45</v>
      </c>
      <c r="B7" t="str">
        <f t="shared" si="0"/>
        <v>trn_territory</v>
      </c>
      <c r="C7" t="str">
        <f t="shared" ref="C7" si="5">LEFT(A7,FIND("ENCODE",A7)-2)</f>
        <v>trn_territory character varying(150)</v>
      </c>
      <c r="D7" t="str">
        <f t="shared" si="2"/>
        <v>character varying(150)</v>
      </c>
      <c r="E7" t="str">
        <f t="shared" ref="E7" si="6">VLOOKUP(D7,L:M,2,FALSE)</f>
        <v xml:space="preserve">null as </v>
      </c>
      <c r="F7" t="str">
        <f t="shared" ref="F7" si="7">E7&amp;B7&amp;","</f>
        <v>null as trn_territory,</v>
      </c>
      <c r="L7" t="s">
        <v>9</v>
      </c>
      <c r="M7" t="s">
        <v>14</v>
      </c>
    </row>
    <row r="8" spans="1:13" x14ac:dyDescent="0.25">
      <c r="A8" t="s">
        <v>46</v>
      </c>
      <c r="B8" t="str">
        <f t="shared" si="0"/>
        <v>acc_class</v>
      </c>
      <c r="C8" t="str">
        <f t="shared" ref="C8" si="8">LEFT(A8,FIND("ENCODE",A8)-2)</f>
        <v>acc_class character varying(18)</v>
      </c>
      <c r="D8" t="str">
        <f t="shared" si="2"/>
        <v>character varying(18)</v>
      </c>
      <c r="E8" t="str">
        <f t="shared" ref="E8" si="9">VLOOKUP(D8,L:M,2,FALSE)</f>
        <v xml:space="preserve">null as </v>
      </c>
      <c r="F8" t="str">
        <f t="shared" ref="F8" si="10">E8&amp;B8&amp;","</f>
        <v>null as acc_class,</v>
      </c>
      <c r="L8" t="s">
        <v>10</v>
      </c>
      <c r="M8" t="s">
        <v>14</v>
      </c>
    </row>
    <row r="9" spans="1:13" x14ac:dyDescent="0.25">
      <c r="A9" t="s">
        <v>47</v>
      </c>
      <c r="B9" t="str">
        <f t="shared" si="0"/>
        <v>product_group</v>
      </c>
      <c r="C9" t="str">
        <f t="shared" ref="C9:C32" si="11">LEFT(A9,FIND("ENCODE",A9)-2)</f>
        <v>product_group character varying(100)</v>
      </c>
      <c r="D9" t="str">
        <f t="shared" si="2"/>
        <v>character varying(100)</v>
      </c>
      <c r="E9" t="str">
        <f t="shared" ref="E9:E32" si="12">VLOOKUP(D9,L:M,2,FALSE)</f>
        <v xml:space="preserve">null as </v>
      </c>
      <c r="F9" t="str">
        <f t="shared" ref="F9:F32" si="13">E9&amp;B9&amp;","</f>
        <v>null as product_group,</v>
      </c>
      <c r="L9" t="s">
        <v>11</v>
      </c>
      <c r="M9" t="s">
        <v>14</v>
      </c>
    </row>
    <row r="10" spans="1:13" x14ac:dyDescent="0.25">
      <c r="A10" t="s">
        <v>48</v>
      </c>
      <c r="B10" t="str">
        <f t="shared" si="0"/>
        <v>product_category</v>
      </c>
      <c r="C10" t="str">
        <f t="shared" si="11"/>
        <v>product_category character varying(100)</v>
      </c>
      <c r="D10" t="str">
        <f t="shared" si="2"/>
        <v>character varying(100)</v>
      </c>
      <c r="E10" t="str">
        <f t="shared" si="12"/>
        <v xml:space="preserve">null as </v>
      </c>
      <c r="F10" t="str">
        <f t="shared" si="13"/>
        <v>null as product_category,</v>
      </c>
      <c r="L10" t="s">
        <v>12</v>
      </c>
      <c r="M10" t="s">
        <v>13</v>
      </c>
    </row>
    <row r="11" spans="1:13" x14ac:dyDescent="0.25">
      <c r="A11" t="s">
        <v>49</v>
      </c>
      <c r="B11" t="str">
        <f t="shared" si="0"/>
        <v>cust_type</v>
      </c>
      <c r="C11" t="str">
        <f t="shared" si="11"/>
        <v>cust_type character varying(10)</v>
      </c>
      <c r="D11" t="str">
        <f t="shared" si="2"/>
        <v>character varying(10)</v>
      </c>
      <c r="E11" t="str">
        <f t="shared" si="12"/>
        <v xml:space="preserve">null as </v>
      </c>
      <c r="F11" t="str">
        <f t="shared" si="13"/>
        <v>null as cust_type,</v>
      </c>
      <c r="L11" t="s">
        <v>17</v>
      </c>
      <c r="M11" t="s">
        <v>13</v>
      </c>
    </row>
    <row r="12" spans="1:13" x14ac:dyDescent="0.25">
      <c r="A12" t="s">
        <v>50</v>
      </c>
      <c r="B12" t="str">
        <f t="shared" si="0"/>
        <v>cust_segment</v>
      </c>
      <c r="C12" t="str">
        <f t="shared" si="11"/>
        <v>cust_segment character varying(35)</v>
      </c>
      <c r="D12" t="str">
        <f t="shared" si="2"/>
        <v>character varying(35)</v>
      </c>
      <c r="E12" t="str">
        <f t="shared" si="12"/>
        <v xml:space="preserve">null as </v>
      </c>
      <c r="F12" t="str">
        <f t="shared" si="13"/>
        <v>null as cust_segment,</v>
      </c>
      <c r="L12" t="s">
        <v>18</v>
      </c>
      <c r="M12" t="s">
        <v>14</v>
      </c>
    </row>
    <row r="13" spans="1:13" x14ac:dyDescent="0.25">
      <c r="A13" t="s">
        <v>51</v>
      </c>
      <c r="B13" t="str">
        <f t="shared" si="0"/>
        <v>businesssector</v>
      </c>
      <c r="C13" t="str">
        <f t="shared" si="11"/>
        <v>businesssector character varying(4000)</v>
      </c>
      <c r="D13" t="str">
        <f t="shared" si="2"/>
        <v>character varying(4000)</v>
      </c>
      <c r="E13" t="str">
        <f t="shared" si="12"/>
        <v xml:space="preserve">null as </v>
      </c>
      <c r="F13" t="str">
        <f t="shared" si="13"/>
        <v>null as businesssector,</v>
      </c>
      <c r="L13" t="s">
        <v>19</v>
      </c>
      <c r="M13" t="s">
        <v>13</v>
      </c>
    </row>
    <row r="14" spans="1:13" x14ac:dyDescent="0.25">
      <c r="A14" t="s">
        <v>52</v>
      </c>
      <c r="B14" t="str">
        <f t="shared" si="0"/>
        <v>businessindustrytype</v>
      </c>
      <c r="C14" t="str">
        <f t="shared" si="11"/>
        <v>businessindustrytype character varying(4000)</v>
      </c>
      <c r="D14" t="str">
        <f t="shared" si="2"/>
        <v>character varying(4000)</v>
      </c>
      <c r="E14" t="str">
        <f t="shared" si="12"/>
        <v xml:space="preserve">null as </v>
      </c>
      <c r="F14" t="str">
        <f t="shared" si="13"/>
        <v>null as businessindustrytype,</v>
      </c>
      <c r="L14" t="s">
        <v>20</v>
      </c>
      <c r="M14" t="s">
        <v>14</v>
      </c>
    </row>
    <row r="15" spans="1:13" x14ac:dyDescent="0.25">
      <c r="A15" t="s">
        <v>53</v>
      </c>
      <c r="B15" t="str">
        <f t="shared" si="0"/>
        <v>businesssubindustry</v>
      </c>
      <c r="C15" t="str">
        <f t="shared" si="11"/>
        <v>businesssubindustry character varying(4000)</v>
      </c>
      <c r="D15" t="str">
        <f t="shared" si="2"/>
        <v>character varying(4000)</v>
      </c>
      <c r="E15" t="str">
        <f t="shared" si="12"/>
        <v xml:space="preserve">null as </v>
      </c>
      <c r="F15" t="str">
        <f t="shared" si="13"/>
        <v>null as businesssubindustry,</v>
      </c>
      <c r="L15" t="s">
        <v>22</v>
      </c>
      <c r="M15" t="s">
        <v>13</v>
      </c>
    </row>
    <row r="16" spans="1:13" x14ac:dyDescent="0.25">
      <c r="A16" t="s">
        <v>29</v>
      </c>
      <c r="B16" t="str">
        <f t="shared" si="0"/>
        <v>trn_group</v>
      </c>
      <c r="C16" t="str">
        <f t="shared" si="11"/>
        <v>trn_group character varying(50)</v>
      </c>
      <c r="D16" t="str">
        <f t="shared" si="2"/>
        <v>character varying(50)</v>
      </c>
      <c r="E16" t="str">
        <f t="shared" si="12"/>
        <v xml:space="preserve">null as </v>
      </c>
      <c r="F16" t="str">
        <f t="shared" si="13"/>
        <v>null as trn_group,</v>
      </c>
      <c r="L16" t="s">
        <v>23</v>
      </c>
      <c r="M16" t="s">
        <v>13</v>
      </c>
    </row>
    <row r="17" spans="1:13" x14ac:dyDescent="0.25">
      <c r="A17" t="s">
        <v>54</v>
      </c>
      <c r="B17" t="str">
        <f t="shared" si="0"/>
        <v>trn_category</v>
      </c>
      <c r="C17" t="str">
        <f t="shared" si="11"/>
        <v>trn_category character varying(100)</v>
      </c>
      <c r="D17" t="str">
        <f t="shared" si="2"/>
        <v>character varying(100)</v>
      </c>
      <c r="E17" t="str">
        <f t="shared" si="12"/>
        <v xml:space="preserve">null as </v>
      </c>
      <c r="F17" t="str">
        <f t="shared" si="13"/>
        <v>null as trn_category,</v>
      </c>
      <c r="L17" t="s">
        <v>24</v>
      </c>
      <c r="M17" t="s">
        <v>13</v>
      </c>
    </row>
    <row r="18" spans="1:13" x14ac:dyDescent="0.25">
      <c r="A18" t="s">
        <v>28</v>
      </c>
      <c r="B18" t="str">
        <f t="shared" si="0"/>
        <v>acc_branch</v>
      </c>
      <c r="C18" t="str">
        <f t="shared" si="11"/>
        <v>acc_branch character varying(12)</v>
      </c>
      <c r="D18" t="str">
        <f t="shared" si="2"/>
        <v>character varying(12)</v>
      </c>
      <c r="E18" t="str">
        <f t="shared" si="12"/>
        <v xml:space="preserve">null as </v>
      </c>
      <c r="F18" t="str">
        <f t="shared" si="13"/>
        <v>null as acc_branch,</v>
      </c>
      <c r="L18" t="s">
        <v>25</v>
      </c>
      <c r="M18" t="s">
        <v>13</v>
      </c>
    </row>
    <row r="19" spans="1:13" x14ac:dyDescent="0.25">
      <c r="A19" t="s">
        <v>55</v>
      </c>
      <c r="B19" t="str">
        <f t="shared" si="0"/>
        <v>acc_township</v>
      </c>
      <c r="C19" t="str">
        <f t="shared" si="11"/>
        <v>acc_township character varying(600)</v>
      </c>
      <c r="D19" t="str">
        <f t="shared" si="2"/>
        <v>character varying(600)</v>
      </c>
      <c r="E19" t="str">
        <f t="shared" si="12"/>
        <v xml:space="preserve">null as </v>
      </c>
      <c r="F19" t="str">
        <f t="shared" si="13"/>
        <v>null as acc_township,</v>
      </c>
      <c r="L19" t="s">
        <v>26</v>
      </c>
      <c r="M19" t="s">
        <v>13</v>
      </c>
    </row>
    <row r="20" spans="1:13" x14ac:dyDescent="0.25">
      <c r="A20" t="s">
        <v>56</v>
      </c>
      <c r="B20" t="str">
        <f t="shared" si="0"/>
        <v>acc_division</v>
      </c>
      <c r="C20" t="str">
        <f t="shared" si="11"/>
        <v>acc_division character varying(150)</v>
      </c>
      <c r="D20" t="str">
        <f t="shared" si="2"/>
        <v>character varying(150)</v>
      </c>
      <c r="E20" t="str">
        <f t="shared" si="12"/>
        <v xml:space="preserve">null as </v>
      </c>
      <c r="F20" t="str">
        <f t="shared" si="13"/>
        <v>null as acc_division,</v>
      </c>
      <c r="L20" t="s">
        <v>27</v>
      </c>
      <c r="M20" t="s">
        <v>13</v>
      </c>
    </row>
    <row r="21" spans="1:13" x14ac:dyDescent="0.25">
      <c r="A21" t="s">
        <v>57</v>
      </c>
      <c r="B21" t="str">
        <f t="shared" si="0"/>
        <v>acc_territory</v>
      </c>
      <c r="C21" t="str">
        <f t="shared" si="11"/>
        <v>acc_territory character varying(150)</v>
      </c>
      <c r="D21" t="str">
        <f t="shared" si="2"/>
        <v>character varying(150)</v>
      </c>
      <c r="E21" t="str">
        <f t="shared" si="12"/>
        <v xml:space="preserve">null as </v>
      </c>
      <c r="F21" t="str">
        <f t="shared" si="13"/>
        <v>null as acc_territory,</v>
      </c>
      <c r="L21" t="s">
        <v>31</v>
      </c>
      <c r="M21" t="s">
        <v>13</v>
      </c>
    </row>
    <row r="22" spans="1:13" x14ac:dyDescent="0.25">
      <c r="A22" t="s">
        <v>58</v>
      </c>
      <c r="B22" t="str">
        <f t="shared" si="0"/>
        <v>trn_amt_tier</v>
      </c>
      <c r="C22" t="str">
        <f t="shared" si="11"/>
        <v>trn_amt_tier character varying(21)</v>
      </c>
      <c r="D22" t="str">
        <f t="shared" si="2"/>
        <v>character varying(21)</v>
      </c>
      <c r="E22" t="str">
        <f t="shared" si="12"/>
        <v xml:space="preserve">null as </v>
      </c>
      <c r="F22" t="str">
        <f t="shared" si="13"/>
        <v>null as trn_amt_tier,</v>
      </c>
      <c r="L22" t="s">
        <v>32</v>
      </c>
      <c r="M22" t="s">
        <v>13</v>
      </c>
    </row>
    <row r="23" spans="1:13" x14ac:dyDescent="0.25">
      <c r="A23" t="s">
        <v>59</v>
      </c>
      <c r="B23" t="str">
        <f t="shared" si="0"/>
        <v>no_of_accounts</v>
      </c>
      <c r="C23" t="str">
        <f t="shared" si="11"/>
        <v>no_of_accounts bigint</v>
      </c>
      <c r="D23" t="str">
        <f t="shared" si="2"/>
        <v>bigint</v>
      </c>
      <c r="E23" t="str">
        <f t="shared" si="12"/>
        <v xml:space="preserve">0 as </v>
      </c>
      <c r="F23" t="str">
        <f t="shared" si="13"/>
        <v>0 as no_of_accounts,</v>
      </c>
      <c r="L23" t="s">
        <v>33</v>
      </c>
      <c r="M23" t="s">
        <v>13</v>
      </c>
    </row>
    <row r="24" spans="1:13" x14ac:dyDescent="0.25">
      <c r="A24" t="s">
        <v>60</v>
      </c>
      <c r="B24" t="str">
        <f t="shared" si="0"/>
        <v>no_of_accounts_same_city</v>
      </c>
      <c r="C24" t="str">
        <f t="shared" si="11"/>
        <v>no_of_accounts_same_city bigint</v>
      </c>
      <c r="D24" t="str">
        <f t="shared" si="2"/>
        <v>bigint</v>
      </c>
      <c r="E24" t="str">
        <f t="shared" si="12"/>
        <v xml:space="preserve">0 as </v>
      </c>
      <c r="F24" t="str">
        <f t="shared" si="13"/>
        <v>0 as no_of_accounts_same_city,</v>
      </c>
      <c r="L24" t="s">
        <v>34</v>
      </c>
      <c r="M24" t="s">
        <v>14</v>
      </c>
    </row>
    <row r="25" spans="1:13" x14ac:dyDescent="0.25">
      <c r="A25" t="s">
        <v>61</v>
      </c>
      <c r="B25" t="str">
        <f t="shared" si="0"/>
        <v>no_of_accounts_diff_city</v>
      </c>
      <c r="C25" t="str">
        <f t="shared" si="11"/>
        <v>no_of_accounts_diff_city bigint</v>
      </c>
      <c r="D25" t="str">
        <f t="shared" si="2"/>
        <v>bigint</v>
      </c>
      <c r="E25" t="str">
        <f t="shared" si="12"/>
        <v xml:space="preserve">0 as </v>
      </c>
      <c r="F25" t="str">
        <f t="shared" si="13"/>
        <v>0 as no_of_accounts_diff_city,</v>
      </c>
      <c r="L25" t="s">
        <v>35</v>
      </c>
      <c r="M25" t="s">
        <v>13</v>
      </c>
    </row>
    <row r="26" spans="1:13" x14ac:dyDescent="0.25">
      <c r="A26" t="s">
        <v>30</v>
      </c>
      <c r="B26" t="str">
        <f t="shared" si="0"/>
        <v>trn_count</v>
      </c>
      <c r="C26" t="str">
        <f t="shared" si="11"/>
        <v>trn_count bigint</v>
      </c>
      <c r="D26" t="str">
        <f t="shared" si="2"/>
        <v>bigint</v>
      </c>
      <c r="E26" t="str">
        <f t="shared" si="12"/>
        <v xml:space="preserve">0 as </v>
      </c>
      <c r="F26" t="str">
        <f t="shared" si="13"/>
        <v>0 as trn_count,</v>
      </c>
      <c r="L26" t="s">
        <v>36</v>
      </c>
      <c r="M26" t="s">
        <v>13</v>
      </c>
    </row>
    <row r="27" spans="1:13" x14ac:dyDescent="0.25">
      <c r="A27" t="s">
        <v>62</v>
      </c>
      <c r="B27" t="str">
        <f t="shared" si="0"/>
        <v>trn_count_same_city</v>
      </c>
      <c r="C27" t="str">
        <f t="shared" si="11"/>
        <v>trn_count_same_city bigint</v>
      </c>
      <c r="D27" t="str">
        <f t="shared" si="2"/>
        <v>bigint</v>
      </c>
      <c r="E27" t="str">
        <f t="shared" si="12"/>
        <v xml:space="preserve">0 as </v>
      </c>
      <c r="F27" t="str">
        <f t="shared" si="13"/>
        <v>0 as trn_count_same_city,</v>
      </c>
      <c r="L27" t="s">
        <v>37</v>
      </c>
      <c r="M27" t="s">
        <v>14</v>
      </c>
    </row>
    <row r="28" spans="1:13" x14ac:dyDescent="0.25">
      <c r="A28" t="s">
        <v>63</v>
      </c>
      <c r="B28" t="str">
        <f t="shared" si="0"/>
        <v>trn_count_diff_city</v>
      </c>
      <c r="C28" t="str">
        <f t="shared" si="11"/>
        <v>trn_count_diff_city bigint</v>
      </c>
      <c r="D28" t="str">
        <f t="shared" si="2"/>
        <v>bigint</v>
      </c>
      <c r="E28" t="str">
        <f t="shared" si="12"/>
        <v xml:space="preserve">0 as </v>
      </c>
      <c r="F28" t="str">
        <f t="shared" si="13"/>
        <v>0 as trn_count_diff_city,</v>
      </c>
      <c r="L28" t="s">
        <v>38</v>
      </c>
      <c r="M28" t="s">
        <v>14</v>
      </c>
    </row>
    <row r="29" spans="1:13" x14ac:dyDescent="0.25">
      <c r="A29" t="s">
        <v>64</v>
      </c>
      <c r="B29" t="str">
        <f t="shared" si="0"/>
        <v>trn_amount</v>
      </c>
      <c r="C29" t="str">
        <f t="shared" si="11"/>
        <v>trn_amount numeric(38,4)</v>
      </c>
      <c r="D29" t="str">
        <f t="shared" si="2"/>
        <v>numeric(38,4)</v>
      </c>
      <c r="E29" t="str">
        <f t="shared" si="12"/>
        <v xml:space="preserve">0 as </v>
      </c>
      <c r="F29" t="str">
        <f t="shared" si="13"/>
        <v>0 as trn_amount,</v>
      </c>
      <c r="L29" t="s">
        <v>39</v>
      </c>
      <c r="M29" t="s">
        <v>13</v>
      </c>
    </row>
    <row r="30" spans="1:13" x14ac:dyDescent="0.25">
      <c r="A30" t="s">
        <v>65</v>
      </c>
      <c r="B30" t="str">
        <f t="shared" si="0"/>
        <v>trn_amount_same_city</v>
      </c>
      <c r="C30" t="str">
        <f t="shared" si="11"/>
        <v>trn_amount_same_city numeric(38,4)</v>
      </c>
      <c r="D30" t="str">
        <f t="shared" si="2"/>
        <v>numeric(38,4)</v>
      </c>
      <c r="E30" t="str">
        <f t="shared" si="12"/>
        <v xml:space="preserve">0 as </v>
      </c>
      <c r="F30" t="str">
        <f t="shared" si="13"/>
        <v>0 as trn_amount_same_city,</v>
      </c>
      <c r="L30" t="s">
        <v>40</v>
      </c>
      <c r="M30" t="s">
        <v>13</v>
      </c>
    </row>
    <row r="31" spans="1:13" x14ac:dyDescent="0.25">
      <c r="A31" t="s">
        <v>66</v>
      </c>
      <c r="B31" t="str">
        <f t="shared" si="0"/>
        <v>trn_amount_diff_city</v>
      </c>
      <c r="C31" t="str">
        <f t="shared" si="11"/>
        <v>trn_amount_diff_city numeric(38,4)</v>
      </c>
      <c r="D31" t="str">
        <f t="shared" si="2"/>
        <v>numeric(38,4)</v>
      </c>
      <c r="E31" t="str">
        <f t="shared" si="12"/>
        <v xml:space="preserve">0 as </v>
      </c>
      <c r="F31" t="str">
        <f t="shared" si="13"/>
        <v>0 as trn_amount_diff_city,</v>
      </c>
      <c r="L31" t="s">
        <v>68</v>
      </c>
      <c r="M31" t="s">
        <v>13</v>
      </c>
    </row>
    <row r="32" spans="1:13" x14ac:dyDescent="0.25">
      <c r="A32" t="s">
        <v>67</v>
      </c>
      <c r="B32" t="str">
        <f t="shared" si="0"/>
        <v>trn_fees</v>
      </c>
      <c r="C32" t="str">
        <f t="shared" si="11"/>
        <v>trn_fees numeric(38,9)</v>
      </c>
      <c r="D32" t="str">
        <f t="shared" si="2"/>
        <v>numeric(38,9)</v>
      </c>
      <c r="E32" t="str">
        <f t="shared" si="12"/>
        <v xml:space="preserve">0 as </v>
      </c>
      <c r="F32" t="str">
        <f t="shared" si="13"/>
        <v>0 as trn_fees,</v>
      </c>
      <c r="L32" t="s">
        <v>69</v>
      </c>
      <c r="M32" t="s">
        <v>13</v>
      </c>
    </row>
    <row r="33" spans="12:13" x14ac:dyDescent="0.25">
      <c r="L33" t="s">
        <v>70</v>
      </c>
      <c r="M33" t="s">
        <v>13</v>
      </c>
    </row>
    <row r="34" spans="12:13" x14ac:dyDescent="0.25">
      <c r="L34" t="s">
        <v>71</v>
      </c>
      <c r="M34" t="s">
        <v>14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Htet Oo Lwin</dc:creator>
  <cp:lastModifiedBy>Htet Oo Lwin</cp:lastModifiedBy>
  <dcterms:created xsi:type="dcterms:W3CDTF">2025-11-17T08:03:50Z</dcterms:created>
  <dcterms:modified xsi:type="dcterms:W3CDTF">2025-11-18T05:32:55Z</dcterms:modified>
</cp:coreProperties>
</file>